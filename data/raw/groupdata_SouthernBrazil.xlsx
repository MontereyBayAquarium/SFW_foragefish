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LAB\MBA SeafoodWatch\Deliverables\Ecosystems of interest\Southwest Atlantic - Argentine shortfin squid\South Brazil shore\raw\"/>
    </mc:Choice>
  </mc:AlternateContent>
  <xr:revisionPtr revIDLastSave="0" documentId="13_ncr:1_{8E2A79A7-3A41-4829-9A43-25F12648C54A}" xr6:coauthVersionLast="47" xr6:coauthVersionMax="47" xr10:uidLastSave="{00000000-0000-0000-0000-000000000000}"/>
  <bookViews>
    <workbookView xWindow="-38520" yWindow="-3705" windowWidth="38640" windowHeight="21120" xr2:uid="{D5C71AF6-7E9D-4B60-8940-8CCAB98974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1" l="1"/>
</calcChain>
</file>

<file path=xl/sharedStrings.xml><?xml version="1.0" encoding="utf-8"?>
<sst xmlns="http://schemas.openxmlformats.org/spreadsheetml/2006/main" count="126" uniqueCount="87">
  <si>
    <t>B</t>
  </si>
  <si>
    <t>QB</t>
  </si>
  <si>
    <t>group.name</t>
  </si>
  <si>
    <t>group.code</t>
  </si>
  <si>
    <t>ED</t>
  </si>
  <si>
    <t>agg.group.name</t>
  </si>
  <si>
    <t>forage.species</t>
  </si>
  <si>
    <t>Helicolenus lahillei</t>
  </si>
  <si>
    <t>Detritus</t>
  </si>
  <si>
    <t>Phytoplankton</t>
  </si>
  <si>
    <t>Zooplankton</t>
  </si>
  <si>
    <t>Benthos</t>
  </si>
  <si>
    <t>Blackfin goosefish</t>
  </si>
  <si>
    <t>Pelagic sharks</t>
  </si>
  <si>
    <t>Large demersal fish</t>
  </si>
  <si>
    <t>Argentine hake</t>
  </si>
  <si>
    <t>Silvery John dory</t>
  </si>
  <si>
    <t>Tunas and similar fish</t>
  </si>
  <si>
    <t>Argentine shortfin squid</t>
  </si>
  <si>
    <t>Demersal Sharks</t>
  </si>
  <si>
    <t>Skates and rays</t>
  </si>
  <si>
    <t>Largehead hairtail</t>
  </si>
  <si>
    <t>Skipjack tuna</t>
  </si>
  <si>
    <t>Brazilian codling</t>
  </si>
  <si>
    <t>Other demersal fish</t>
  </si>
  <si>
    <t>Large-tooth flounders</t>
  </si>
  <si>
    <t>Deepbody boarfish</t>
  </si>
  <si>
    <t>Beardfish</t>
  </si>
  <si>
    <t>Bluewing searobin</t>
  </si>
  <si>
    <t>Drums and croakers</t>
  </si>
  <si>
    <t>yes</t>
  </si>
  <si>
    <t>Stehmann’s pearlside</t>
  </si>
  <si>
    <t>Planktivorous mesopelagic fish</t>
  </si>
  <si>
    <t>Silver-rag driftfish</t>
  </si>
  <si>
    <t>Other forage fish</t>
  </si>
  <si>
    <t>Argentine anchovy</t>
  </si>
  <si>
    <t>Deep-sea crabs</t>
  </si>
  <si>
    <t>Deep-sea shrimp</t>
  </si>
  <si>
    <t>Import</t>
  </si>
  <si>
    <t>ED.source</t>
  </si>
  <si>
    <t>Surma et al 2022</t>
  </si>
  <si>
    <t>Crabtree 1995 average for deep-sea fishes</t>
  </si>
  <si>
    <t>latin.name</t>
  </si>
  <si>
    <t>Whyte 1987 in Surma et al 2022</t>
  </si>
  <si>
    <t>Brey (2001) in Surma et al 2022</t>
  </si>
  <si>
    <t>Trichiurus lepturus</t>
  </si>
  <si>
    <t>Katsuwonus pelamis</t>
  </si>
  <si>
    <t>Lophius gastrophysus</t>
  </si>
  <si>
    <t>Merluccius hubbsi</t>
  </si>
  <si>
    <t>Zenopsis conchifera</t>
  </si>
  <si>
    <t>Illex argentinus</t>
  </si>
  <si>
    <t>Atlantoraja spp.</t>
  </si>
  <si>
    <t>Urophycis mystacea</t>
  </si>
  <si>
    <t>Paralichthys spp.</t>
  </si>
  <si>
    <t>Antigonia capros</t>
  </si>
  <si>
    <t>Polymixia lowei</t>
  </si>
  <si>
    <t>Prionotus punctatus</t>
  </si>
  <si>
    <t>Maurolicus stehmanni</t>
  </si>
  <si>
    <t>Ariomma bondi</t>
  </si>
  <si>
    <t>Engraulis anchoita</t>
  </si>
  <si>
    <t>Chaceon spp.</t>
  </si>
  <si>
    <t>average of Eder and Lewis 2005 and Ciancio et al 2007</t>
  </si>
  <si>
    <t>Palavesam et al 2005</t>
  </si>
  <si>
    <t>Infaunal detritivores in Surma et al 2022</t>
  </si>
  <si>
    <t>Steimle and Terranova in Herman et al database</t>
  </si>
  <si>
    <t>ED_SD</t>
  </si>
  <si>
    <t>one species  Herman et al database</t>
  </si>
  <si>
    <t>average from species in Hermann et al database</t>
  </si>
  <si>
    <t>average of species in atlantic Hermann et al database</t>
  </si>
  <si>
    <t>Hermann et al database</t>
  </si>
  <si>
    <t>average of species (genus) in Herman et al database</t>
  </si>
  <si>
    <t>genus in Atlantic Hermann et al database</t>
  </si>
  <si>
    <t>Sciaenidae</t>
  </si>
  <si>
    <t>whole body in Hermann et al database</t>
  </si>
  <si>
    <t>whole body of genus Atlantic Hermann et al database</t>
  </si>
  <si>
    <t>average of principal species (or genus) in Hermann et al database</t>
  </si>
  <si>
    <t>average of 2 species (Atl/blank, whole body)  in Hermann et al database</t>
  </si>
  <si>
    <t>Brey (2001) in Surma et al 2023</t>
  </si>
  <si>
    <t>Lawson et al 1998 and Smith et al 1986 (in Surma et al 2022)</t>
  </si>
  <si>
    <t>average of all groups</t>
  </si>
  <si>
    <t>whole body, bomb, atlantic, Hermann et al database</t>
  </si>
  <si>
    <t>genus, bomb, atl, Hermann et al database</t>
  </si>
  <si>
    <t>Large pelagics</t>
  </si>
  <si>
    <t>Predatory fish</t>
  </si>
  <si>
    <t>Benthopelagic piscivores</t>
  </si>
  <si>
    <t>Demersal carnivore</t>
  </si>
  <si>
    <t>Benthopelagic carnivores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</si>
</sst>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/>
      <name val="Calibri"/>
      <family val="2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2" fontId="0" fillId="0" borderId="0" xfId="0" applyNumberFormat="1"/>
    <xf numFmtId="164" fontId="0" fillId="0" borderId="0" xfId="0" applyNumberFormat="1"/>
    <xf numFmtId="0" fontId="3" fillId="0" borderId="0" xfId="1" applyFont="1"/>
    <xf numFmtId="0" fontId="3" fillId="0" borderId="1" xfId="1" applyFont="1" applyBorder="1"/>
    <xf numFmtId="2" fontId="3" fillId="0" borderId="1" xfId="1" applyNumberFormat="1" applyFont="1" applyBorder="1"/>
    <xf numFmtId="2" fontId="3" fillId="0" borderId="0" xfId="1" applyNumberFormat="1" applyFont="1"/>
    <xf numFmtId="0" fontId="0" fillId="2" borderId="0" xfId="0" applyFill="1"/>
    <xf numFmtId="164" fontId="0" fillId="2" borderId="0" xfId="0" applyNumberFormat="1" applyFill="1"/>
    <xf numFmtId="2" fontId="0" fillId="2" borderId="0" xfId="0" applyNumberFormat="1" applyFill="1"/>
    <xf numFmtId="0" fontId="4" fillId="0" borderId="2" xfId="0" applyFont="1" applyBorder="1" applyAlignment="1">
      <alignment horizontal="left"/>
    </xf>
    <xf numFmtId="2" fontId="5" fillId="0" borderId="0" xfId="0" applyNumberFormat="1" applyFont="1"/>
    <xf numFmtId="0" fontId="5" fillId="0" borderId="0" xfId="0" applyFont="1"/>
    <xf numFmtId="0" fontId="4" fillId="0" borderId="0" xfId="0" applyFont="1"/>
    <xf numFmtId="0" fontId="5" fillId="0" borderId="2" xfId="0" applyFont="1" applyBorder="1"/>
    <xf numFmtId="2" fontId="0" fillId="0" borderId="2" xfId="0" applyNumberFormat="1" applyBorder="1"/>
    <xf numFmtId="2" fontId="4" fillId="0" borderId="3" xfId="0" applyNumberFormat="1" applyFont="1" applyBorder="1"/>
    <xf numFmtId="2" fontId="4" fillId="2" borderId="0" xfId="0" applyNumberFormat="1" applyFont="1" applyFill="1"/>
    <xf numFmtId="0" fontId="4" fillId="2" borderId="0" xfId="0" applyFont="1" applyFill="1"/>
  </cellXfs>
  <cellStyles count="2">
    <cellStyle name="Normal" xfId="0" builtinId="0"/>
    <cellStyle name="Normal 2" xfId="1" xr:uid="{60930DC4-33E6-4C6F-B2F9-3B4F654EE59B}"/>
  </cellStyles>
  <dxfs count="5">
    <dxf>
      <fill>
        <patternFill>
          <fgColor indexed="64"/>
          <bgColor rgb="FFFFC000"/>
        </patternFill>
      </fill>
    </dxf>
    <dxf>
      <numFmt numFmtId="2" formatCode="0.00"/>
    </dxf>
    <dxf>
      <numFmt numFmtId="2" formatCode="0.00"/>
    </dxf>
    <dxf>
      <numFmt numFmtId="164" formatCode="0.000"/>
    </dxf>
    <dxf>
      <numFmt numFmtId="164" formatCode="0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299F80-1A9D-4E55-915D-250A948EE006}" name="Table1" displayName="Table1" ref="A1:J32" totalsRowShown="0">
  <autoFilter ref="A1:J32" xr:uid="{4C299F80-1A9D-4E55-915D-250A948EE006}"/>
  <tableColumns count="10">
    <tableColumn id="4" xr3:uid="{E61B885C-6D5B-4109-84C5-3F4FE68A4BB5}" name="group.code"/>
    <tableColumn id="1" xr3:uid="{419ECE10-D0F0-4E6D-9E24-1736E7AE362F}" name="group.name"/>
    <tableColumn id="9" xr3:uid="{5B14F1D5-78FE-4D28-A0A1-51E29F102ECF}" name="latin.name"/>
    <tableColumn id="2" xr3:uid="{5DFE4D20-26E7-4E74-9C9C-F57699283209}" name="B" dataDxfId="4" totalsRowDxfId="3"/>
    <tableColumn id="3" xr3:uid="{4804688A-D8FD-4544-B31A-537E334FDF4F}" name="QB" dataDxfId="2" totalsRowDxfId="1"/>
    <tableColumn id="5" xr3:uid="{3240EF82-4D1B-4FA7-B632-82F6F48305EB}" name="ED"/>
    <tableColumn id="13" xr3:uid="{B38CE179-1B73-4397-8CED-E1C1BF9B2741}" name="ED_SD"/>
    <tableColumn id="6" xr3:uid="{C6202B1C-879B-41CD-9AE3-7282639136EE}" name="ED.source"/>
    <tableColumn id="7" xr3:uid="{BFF03A9A-DC39-4600-BAEF-F2AA87E56C15}" name="agg.group.name" dataDxfId="0"/>
    <tableColumn id="8" xr3:uid="{A0714085-5D6D-459E-890B-66EB937441B7}" name="forage.speci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7E42C-359B-4117-A185-6EF28C5F8E1B}">
  <dimension ref="A1:J32"/>
  <sheetViews>
    <sheetView tabSelected="1" zoomScale="110" zoomScaleNormal="110" workbookViewId="0">
      <selection activeCell="I16" sqref="I16"/>
    </sheetView>
  </sheetViews>
  <sheetFormatPr defaultRowHeight="14.4" x14ac:dyDescent="0.3"/>
  <cols>
    <col min="1" max="1" width="12.88671875" bestFit="1" customWidth="1"/>
    <col min="2" max="2" width="24" customWidth="1"/>
    <col min="3" max="3" width="19.33203125" bestFit="1" customWidth="1"/>
    <col min="4" max="4" width="7.5546875" style="2" bestFit="1" customWidth="1"/>
    <col min="5" max="5" width="7.21875" customWidth="1"/>
    <col min="6" max="6" width="5.44140625" bestFit="1" customWidth="1"/>
    <col min="7" max="7" width="8.6640625" bestFit="1" customWidth="1"/>
    <col min="8" max="8" width="20.6640625" customWidth="1"/>
    <col min="9" max="9" width="24.5546875" customWidth="1"/>
    <col min="10" max="10" width="15.33203125" bestFit="1" customWidth="1"/>
  </cols>
  <sheetData>
    <row r="1" spans="1:10" x14ac:dyDescent="0.3">
      <c r="A1" s="3" t="s">
        <v>3</v>
      </c>
      <c r="B1" s="4" t="s">
        <v>2</v>
      </c>
      <c r="C1" s="4" t="s">
        <v>42</v>
      </c>
      <c r="D1" s="5" t="s">
        <v>0</v>
      </c>
      <c r="E1" s="5" t="s">
        <v>1</v>
      </c>
      <c r="F1" s="6" t="s">
        <v>4</v>
      </c>
      <c r="G1" s="6" t="s">
        <v>65</v>
      </c>
      <c r="H1" s="6" t="s">
        <v>39</v>
      </c>
      <c r="I1" s="3" t="s">
        <v>5</v>
      </c>
      <c r="J1" s="3" t="s">
        <v>6</v>
      </c>
    </row>
    <row r="2" spans="1:10" x14ac:dyDescent="0.3">
      <c r="A2">
        <v>1</v>
      </c>
      <c r="B2" t="s">
        <v>12</v>
      </c>
      <c r="C2" t="s">
        <v>47</v>
      </c>
      <c r="D2" s="2">
        <v>8.6999999999999994E-2</v>
      </c>
      <c r="E2" s="1">
        <v>2.2999999999999998</v>
      </c>
      <c r="F2">
        <v>3.63</v>
      </c>
      <c r="H2" t="s">
        <v>41</v>
      </c>
      <c r="I2" t="s">
        <v>12</v>
      </c>
    </row>
    <row r="3" spans="1:10" x14ac:dyDescent="0.3">
      <c r="A3">
        <v>2</v>
      </c>
      <c r="B3" t="s">
        <v>13</v>
      </c>
      <c r="D3" s="2">
        <v>0.255</v>
      </c>
      <c r="E3" s="1">
        <v>4</v>
      </c>
      <c r="F3">
        <v>7.35</v>
      </c>
      <c r="H3" s="10" t="s">
        <v>40</v>
      </c>
      <c r="I3" t="s">
        <v>83</v>
      </c>
    </row>
    <row r="4" spans="1:10" x14ac:dyDescent="0.3">
      <c r="A4">
        <v>3</v>
      </c>
      <c r="B4" t="s">
        <v>14</v>
      </c>
      <c r="D4" s="2">
        <v>5.6000000000000001E-2</v>
      </c>
      <c r="E4" s="1">
        <v>3</v>
      </c>
      <c r="F4" s="13">
        <v>4.5199999999999996</v>
      </c>
      <c r="H4" t="s">
        <v>66</v>
      </c>
      <c r="I4" t="s">
        <v>14</v>
      </c>
    </row>
    <row r="5" spans="1:10" x14ac:dyDescent="0.3">
      <c r="A5">
        <v>4</v>
      </c>
      <c r="B5" t="s">
        <v>15</v>
      </c>
      <c r="C5" t="s">
        <v>48</v>
      </c>
      <c r="D5" s="2">
        <v>0.25</v>
      </c>
      <c r="E5" s="1">
        <v>2.96</v>
      </c>
      <c r="F5" s="1">
        <v>4.5</v>
      </c>
      <c r="G5" s="1"/>
      <c r="H5" t="s">
        <v>61</v>
      </c>
      <c r="I5" s="13" t="s">
        <v>84</v>
      </c>
    </row>
    <row r="6" spans="1:10" x14ac:dyDescent="0.3">
      <c r="A6">
        <v>5</v>
      </c>
      <c r="B6" t="s">
        <v>16</v>
      </c>
      <c r="C6" t="s">
        <v>49</v>
      </c>
      <c r="D6" s="2">
        <v>0.215</v>
      </c>
      <c r="E6" s="1">
        <v>1.5</v>
      </c>
      <c r="F6" s="13">
        <v>2.78</v>
      </c>
      <c r="G6">
        <v>3.8399999999999997E-2</v>
      </c>
      <c r="H6" t="s">
        <v>64</v>
      </c>
      <c r="I6" s="13" t="s">
        <v>84</v>
      </c>
    </row>
    <row r="7" spans="1:10" x14ac:dyDescent="0.3">
      <c r="A7">
        <v>6</v>
      </c>
      <c r="B7" t="s">
        <v>17</v>
      </c>
      <c r="D7" s="2">
        <v>0.51300000000000001</v>
      </c>
      <c r="E7" s="1">
        <v>9</v>
      </c>
      <c r="F7" s="13">
        <v>5.89</v>
      </c>
      <c r="H7" t="s">
        <v>67</v>
      </c>
      <c r="I7" t="s">
        <v>82</v>
      </c>
    </row>
    <row r="8" spans="1:10" x14ac:dyDescent="0.3">
      <c r="A8" s="7">
        <v>7</v>
      </c>
      <c r="B8" s="7" t="s">
        <v>18</v>
      </c>
      <c r="C8" t="s">
        <v>50</v>
      </c>
      <c r="D8" s="8">
        <v>0.34</v>
      </c>
      <c r="E8" s="9">
        <v>20</v>
      </c>
      <c r="F8" s="17">
        <v>5.72</v>
      </c>
      <c r="G8" s="17"/>
      <c r="H8" s="18" t="s">
        <v>68</v>
      </c>
      <c r="I8" s="7" t="s">
        <v>18</v>
      </c>
      <c r="J8" s="7" t="s">
        <v>30</v>
      </c>
    </row>
    <row r="9" spans="1:10" x14ac:dyDescent="0.3">
      <c r="A9">
        <v>8</v>
      </c>
      <c r="B9" t="s">
        <v>19</v>
      </c>
      <c r="D9" s="2">
        <v>0.18</v>
      </c>
      <c r="E9" s="1">
        <v>1.89</v>
      </c>
      <c r="F9">
        <v>7.35</v>
      </c>
      <c r="H9" s="10" t="s">
        <v>40</v>
      </c>
      <c r="I9" t="s">
        <v>19</v>
      </c>
    </row>
    <row r="10" spans="1:10" x14ac:dyDescent="0.3">
      <c r="A10">
        <v>9</v>
      </c>
      <c r="B10" t="s">
        <v>7</v>
      </c>
      <c r="C10" t="s">
        <v>7</v>
      </c>
      <c r="D10" s="2">
        <v>0.08</v>
      </c>
      <c r="E10" s="1">
        <v>2.75</v>
      </c>
      <c r="F10">
        <v>6.36</v>
      </c>
      <c r="H10" t="s">
        <v>81</v>
      </c>
      <c r="I10" s="13" t="s">
        <v>85</v>
      </c>
    </row>
    <row r="11" spans="1:10" x14ac:dyDescent="0.3">
      <c r="A11">
        <v>10</v>
      </c>
      <c r="B11" t="s">
        <v>20</v>
      </c>
      <c r="C11" t="s">
        <v>51</v>
      </c>
      <c r="D11" s="2">
        <v>0.2</v>
      </c>
      <c r="E11" s="1">
        <v>0.75</v>
      </c>
      <c r="F11" s="16">
        <v>4.2300000000000004</v>
      </c>
      <c r="G11" s="15"/>
      <c r="H11" s="14" t="s">
        <v>69</v>
      </c>
      <c r="I11" s="13" t="s">
        <v>85</v>
      </c>
    </row>
    <row r="12" spans="1:10" x14ac:dyDescent="0.3">
      <c r="A12">
        <v>11</v>
      </c>
      <c r="B12" t="s">
        <v>21</v>
      </c>
      <c r="C12" t="s">
        <v>45</v>
      </c>
      <c r="D12" s="2">
        <v>1.1240000000000001</v>
      </c>
      <c r="E12" s="1">
        <v>2.46</v>
      </c>
      <c r="F12" s="13">
        <v>3.83</v>
      </c>
      <c r="H12" s="14" t="s">
        <v>69</v>
      </c>
      <c r="I12" s="13" t="s">
        <v>86</v>
      </c>
    </row>
    <row r="13" spans="1:10" x14ac:dyDescent="0.3">
      <c r="A13">
        <v>12</v>
      </c>
      <c r="B13" t="s">
        <v>22</v>
      </c>
      <c r="C13" t="s">
        <v>46</v>
      </c>
      <c r="D13" s="2">
        <v>0.5</v>
      </c>
      <c r="E13" s="1">
        <v>20</v>
      </c>
      <c r="F13" s="13">
        <v>5.9</v>
      </c>
      <c r="H13" s="14" t="s">
        <v>69</v>
      </c>
      <c r="I13" t="s">
        <v>82</v>
      </c>
    </row>
    <row r="14" spans="1:10" x14ac:dyDescent="0.3">
      <c r="A14">
        <v>13</v>
      </c>
      <c r="B14" t="s">
        <v>23</v>
      </c>
      <c r="C14" t="s">
        <v>52</v>
      </c>
      <c r="D14" s="2">
        <v>7.8E-2</v>
      </c>
      <c r="E14" s="1">
        <v>4.3499999999999996</v>
      </c>
      <c r="F14" s="13">
        <v>4.93</v>
      </c>
      <c r="H14" t="s">
        <v>81</v>
      </c>
      <c r="I14" s="13" t="s">
        <v>85</v>
      </c>
    </row>
    <row r="15" spans="1:10" x14ac:dyDescent="0.3">
      <c r="A15">
        <v>14</v>
      </c>
      <c r="B15" t="s">
        <v>24</v>
      </c>
      <c r="D15" s="2">
        <v>0.34</v>
      </c>
      <c r="E15" s="1">
        <v>4</v>
      </c>
      <c r="F15" s="13">
        <v>4.71</v>
      </c>
      <c r="H15" t="s">
        <v>70</v>
      </c>
      <c r="I15" t="s">
        <v>24</v>
      </c>
    </row>
    <row r="16" spans="1:10" x14ac:dyDescent="0.3">
      <c r="A16">
        <v>15</v>
      </c>
      <c r="B16" t="s">
        <v>25</v>
      </c>
      <c r="C16" t="s">
        <v>53</v>
      </c>
      <c r="D16" s="2">
        <v>4.9000000000000002E-2</v>
      </c>
      <c r="E16" s="1">
        <v>5.3</v>
      </c>
      <c r="F16" s="13">
        <v>4.7</v>
      </c>
      <c r="H16" t="s">
        <v>80</v>
      </c>
      <c r="I16" s="13" t="s">
        <v>85</v>
      </c>
    </row>
    <row r="17" spans="1:10" x14ac:dyDescent="0.3">
      <c r="A17">
        <v>16</v>
      </c>
      <c r="B17" t="s">
        <v>26</v>
      </c>
      <c r="C17" t="s">
        <v>54</v>
      </c>
      <c r="D17" s="2">
        <v>0.26300000000000001</v>
      </c>
      <c r="E17" s="1">
        <v>3.05</v>
      </c>
      <c r="F17" s="13">
        <v>5.72</v>
      </c>
      <c r="H17" t="s">
        <v>69</v>
      </c>
      <c r="I17" s="13" t="s">
        <v>85</v>
      </c>
    </row>
    <row r="18" spans="1:10" x14ac:dyDescent="0.3">
      <c r="A18">
        <v>17</v>
      </c>
      <c r="B18" t="s">
        <v>27</v>
      </c>
      <c r="C18" t="s">
        <v>55</v>
      </c>
      <c r="D18" s="2">
        <v>0.14799999999999999</v>
      </c>
      <c r="E18" s="1">
        <v>5.09</v>
      </c>
      <c r="F18" s="13">
        <v>6.66</v>
      </c>
      <c r="H18" t="s">
        <v>69</v>
      </c>
      <c r="I18" s="13" t="s">
        <v>86</v>
      </c>
    </row>
    <row r="19" spans="1:10" x14ac:dyDescent="0.3">
      <c r="A19">
        <v>18</v>
      </c>
      <c r="B19" t="s">
        <v>28</v>
      </c>
      <c r="C19" t="s">
        <v>56</v>
      </c>
      <c r="D19" s="2">
        <v>5.8999999999999997E-2</v>
      </c>
      <c r="E19" s="1">
        <v>2</v>
      </c>
      <c r="F19" s="13">
        <v>4.5199999999999996</v>
      </c>
      <c r="H19" t="s">
        <v>71</v>
      </c>
      <c r="I19" s="13" t="s">
        <v>85</v>
      </c>
    </row>
    <row r="20" spans="1:10" x14ac:dyDescent="0.3">
      <c r="A20">
        <v>19</v>
      </c>
      <c r="B20" t="s">
        <v>29</v>
      </c>
      <c r="C20" t="s">
        <v>72</v>
      </c>
      <c r="D20" s="2">
        <v>7.0000000000000007E-2</v>
      </c>
      <c r="E20" s="1">
        <v>4.67</v>
      </c>
      <c r="F20">
        <v>5.08</v>
      </c>
      <c r="H20" t="s">
        <v>73</v>
      </c>
      <c r="I20" s="13" t="s">
        <v>85</v>
      </c>
    </row>
    <row r="21" spans="1:10" x14ac:dyDescent="0.3">
      <c r="A21" s="7">
        <v>20</v>
      </c>
      <c r="B21" s="7" t="s">
        <v>31</v>
      </c>
      <c r="C21" t="s">
        <v>57</v>
      </c>
      <c r="D21" s="8">
        <v>3.9609999999999999</v>
      </c>
      <c r="E21" s="9">
        <v>20.100000000000001</v>
      </c>
      <c r="F21" s="7">
        <v>5.87</v>
      </c>
      <c r="G21" s="7"/>
      <c r="H21" s="7" t="s">
        <v>74</v>
      </c>
      <c r="I21" s="7" t="s">
        <v>31</v>
      </c>
      <c r="J21" s="7" t="s">
        <v>30</v>
      </c>
    </row>
    <row r="22" spans="1:10" x14ac:dyDescent="0.3">
      <c r="A22" s="7">
        <v>21</v>
      </c>
      <c r="B22" s="7" t="s">
        <v>32</v>
      </c>
      <c r="D22" s="8">
        <v>3.6</v>
      </c>
      <c r="E22" s="9">
        <v>12.66</v>
      </c>
      <c r="F22" s="7">
        <v>4.51</v>
      </c>
      <c r="G22" s="7"/>
      <c r="H22" s="7" t="s">
        <v>75</v>
      </c>
      <c r="I22" s="7" t="s">
        <v>32</v>
      </c>
      <c r="J22" s="7" t="s">
        <v>30</v>
      </c>
    </row>
    <row r="23" spans="1:10" x14ac:dyDescent="0.3">
      <c r="A23">
        <v>22</v>
      </c>
      <c r="B23" t="s">
        <v>33</v>
      </c>
      <c r="C23" t="s">
        <v>58</v>
      </c>
      <c r="D23" s="2">
        <v>0.06</v>
      </c>
      <c r="E23" s="1">
        <v>4.09</v>
      </c>
      <c r="F23">
        <v>5.17</v>
      </c>
      <c r="H23" t="s">
        <v>69</v>
      </c>
      <c r="I23" t="s">
        <v>33</v>
      </c>
    </row>
    <row r="24" spans="1:10" x14ac:dyDescent="0.3">
      <c r="A24" s="7">
        <v>23</v>
      </c>
      <c r="B24" s="7" t="s">
        <v>34</v>
      </c>
      <c r="D24" s="8">
        <v>1.992</v>
      </c>
      <c r="E24" s="9">
        <v>10.97</v>
      </c>
      <c r="F24" s="7">
        <v>4.72</v>
      </c>
      <c r="G24" s="7"/>
      <c r="H24" s="7" t="s">
        <v>76</v>
      </c>
      <c r="I24" s="7" t="s">
        <v>34</v>
      </c>
      <c r="J24" s="7" t="s">
        <v>30</v>
      </c>
    </row>
    <row r="25" spans="1:10" x14ac:dyDescent="0.3">
      <c r="A25" s="7">
        <v>24</v>
      </c>
      <c r="B25" s="7" t="s">
        <v>35</v>
      </c>
      <c r="C25" t="s">
        <v>59</v>
      </c>
      <c r="D25" s="8">
        <v>2.97</v>
      </c>
      <c r="E25" s="9">
        <v>11.7</v>
      </c>
      <c r="F25" s="7">
        <v>5.55</v>
      </c>
      <c r="G25" s="7"/>
      <c r="H25" s="7" t="s">
        <v>69</v>
      </c>
      <c r="I25" s="7" t="s">
        <v>35</v>
      </c>
      <c r="J25" s="7" t="s">
        <v>30</v>
      </c>
    </row>
    <row r="26" spans="1:10" x14ac:dyDescent="0.3">
      <c r="A26">
        <v>25</v>
      </c>
      <c r="B26" t="s">
        <v>36</v>
      </c>
      <c r="C26" t="s">
        <v>60</v>
      </c>
      <c r="D26" s="2">
        <v>0.15</v>
      </c>
      <c r="E26" s="1">
        <v>5.55</v>
      </c>
      <c r="F26">
        <v>4</v>
      </c>
      <c r="H26" t="s">
        <v>77</v>
      </c>
      <c r="I26" t="s">
        <v>36</v>
      </c>
    </row>
    <row r="27" spans="1:10" x14ac:dyDescent="0.3">
      <c r="A27">
        <v>26</v>
      </c>
      <c r="B27" t="s">
        <v>37</v>
      </c>
      <c r="D27" s="2">
        <v>1.2430000000000001</v>
      </c>
      <c r="E27" s="1">
        <v>10</v>
      </c>
      <c r="F27">
        <v>4.9000000000000004</v>
      </c>
      <c r="H27" t="s">
        <v>78</v>
      </c>
      <c r="I27" t="s">
        <v>37</v>
      </c>
    </row>
    <row r="28" spans="1:10" x14ac:dyDescent="0.3">
      <c r="A28">
        <v>27</v>
      </c>
      <c r="B28" t="s">
        <v>11</v>
      </c>
      <c r="D28" s="2">
        <v>45</v>
      </c>
      <c r="E28" s="1">
        <v>20.83</v>
      </c>
      <c r="F28">
        <v>1.88</v>
      </c>
      <c r="H28" t="s">
        <v>63</v>
      </c>
      <c r="I28" t="s">
        <v>11</v>
      </c>
    </row>
    <row r="29" spans="1:10" x14ac:dyDescent="0.3">
      <c r="A29">
        <v>28</v>
      </c>
      <c r="B29" t="s">
        <v>10</v>
      </c>
      <c r="D29" s="2">
        <v>3.8</v>
      </c>
      <c r="E29" s="1">
        <v>248</v>
      </c>
      <c r="F29" s="11">
        <v>1.8</v>
      </c>
      <c r="G29" s="11"/>
      <c r="H29" s="13" t="s">
        <v>44</v>
      </c>
      <c r="I29" t="s">
        <v>10</v>
      </c>
    </row>
    <row r="30" spans="1:10" x14ac:dyDescent="0.3">
      <c r="A30">
        <v>29</v>
      </c>
      <c r="B30" t="s">
        <v>9</v>
      </c>
      <c r="D30" s="2">
        <v>9.9700000000000006</v>
      </c>
      <c r="E30" s="1">
        <v>0</v>
      </c>
      <c r="F30" s="11">
        <v>1.01</v>
      </c>
      <c r="G30" s="11"/>
      <c r="H30" s="12" t="s">
        <v>43</v>
      </c>
      <c r="I30" t="s">
        <v>9</v>
      </c>
    </row>
    <row r="31" spans="1:10" x14ac:dyDescent="0.3">
      <c r="A31">
        <v>30</v>
      </c>
      <c r="B31" t="s">
        <v>8</v>
      </c>
      <c r="D31" s="2">
        <v>854.31872788999988</v>
      </c>
      <c r="E31" s="1">
        <v>0</v>
      </c>
      <c r="F31">
        <v>4.88</v>
      </c>
      <c r="H31" t="s">
        <v>62</v>
      </c>
      <c r="I31" t="s">
        <v>8</v>
      </c>
    </row>
    <row r="32" spans="1:10" x14ac:dyDescent="0.3">
      <c r="A32">
        <v>31</v>
      </c>
      <c r="B32" t="s">
        <v>38</v>
      </c>
      <c r="D32" s="2">
        <v>12.699117506000002</v>
      </c>
      <c r="E32" s="1">
        <v>0</v>
      </c>
      <c r="F32" s="1">
        <f>AVERAGE(F2:F31)</f>
        <v>4.7556666666666665</v>
      </c>
      <c r="H32" t="s">
        <v>79</v>
      </c>
      <c r="I32" t="s">
        <v>38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Marjoleine Roos</dc:creator>
  <cp:lastModifiedBy>Marjoleine Roos</cp:lastModifiedBy>
  <dcterms:created xsi:type="dcterms:W3CDTF">2026-03-04T05:40:42Z</dcterms:created>
  <dcterms:modified xsi:type="dcterms:W3CDTF">2026-05-14T05:57:44Z</dcterms:modified>
</cp:coreProperties>
</file>