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LAB\MBA SeafoodWatch\Deliverables\Ecosystems of interest\Kattegat Bay - Norway lobster\raw\"/>
    </mc:Choice>
  </mc:AlternateContent>
  <xr:revisionPtr revIDLastSave="0" documentId="13_ncr:1_{2355808C-AD17-417B-A222-3460A2DD0153}" xr6:coauthVersionLast="47" xr6:coauthVersionMax="47" xr10:uidLastSave="{00000000-0000-0000-0000-000000000000}"/>
  <bookViews>
    <workbookView xWindow="-19305" yWindow="-1695" windowWidth="19410" windowHeight="20985" xr2:uid="{0034325D-FF3C-4612-950A-C9E45C4C9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<sst xmlns="http://schemas.openxmlformats.org/spreadsheetml/2006/main" count="105" uniqueCount="59">
  <si>
    <t>Birds</t>
  </si>
  <si>
    <t>Harbor Porpoise</t>
  </si>
  <si>
    <t>Seals</t>
  </si>
  <si>
    <t>Ad.Cod</t>
  </si>
  <si>
    <t>Juv.Cod</t>
  </si>
  <si>
    <t>Ad.Plaice</t>
  </si>
  <si>
    <t>Juv.Plaice</t>
  </si>
  <si>
    <t>Sole</t>
  </si>
  <si>
    <t>Dab</t>
  </si>
  <si>
    <t>Flounder</t>
  </si>
  <si>
    <t>Ad.Whiting</t>
  </si>
  <si>
    <t>Juv.Whiting</t>
  </si>
  <si>
    <t>Blue Whiting</t>
  </si>
  <si>
    <t>Norway pout</t>
  </si>
  <si>
    <t>Sandeel</t>
  </si>
  <si>
    <t>Herring</t>
  </si>
  <si>
    <t>Sprat</t>
  </si>
  <si>
    <t>Mesozooplankton</t>
  </si>
  <si>
    <t>Shrimps and mysids</t>
  </si>
  <si>
    <t>Echinodermata</t>
  </si>
  <si>
    <t>Polychaeta</t>
  </si>
  <si>
    <t>Nephrops</t>
  </si>
  <si>
    <t>Crustaceans</t>
  </si>
  <si>
    <t>Molluscs</t>
  </si>
  <si>
    <t>Gelatinous zooplankton</t>
  </si>
  <si>
    <t>Meiofauna</t>
  </si>
  <si>
    <t>Phytoplankton</t>
  </si>
  <si>
    <t>Benthic microalgae</t>
  </si>
  <si>
    <t>Detritus</t>
  </si>
  <si>
    <t>group.code</t>
  </si>
  <si>
    <t>group.name</t>
  </si>
  <si>
    <t>B</t>
  </si>
  <si>
    <t>QB</t>
  </si>
  <si>
    <t>ED</t>
  </si>
  <si>
    <t>agg.group.name</t>
  </si>
  <si>
    <t>forage.species</t>
  </si>
  <si>
    <t>ED source</t>
  </si>
  <si>
    <t>Hunt et al. (2002)</t>
  </si>
  <si>
    <t>yes</t>
  </si>
  <si>
    <t>Hunt et al 2002 and Doak et al 2006 in Surma et al 2023</t>
  </si>
  <si>
    <t>Hunt et al 2002 and Doak et al 2006 in Surma et al 2025</t>
  </si>
  <si>
    <t>Demersal carnivores</t>
  </si>
  <si>
    <t>Lawson et al 1998</t>
  </si>
  <si>
    <t>Spitz et al 2010</t>
  </si>
  <si>
    <t>Pleuronectiformes in Spitz et al 2010</t>
  </si>
  <si>
    <r>
      <t>Pedersen, J., &amp; Hislop, J. R. G. (2001). Seasonal variations in the energy density of fishes in the North Sea. </t>
    </r>
    <r>
      <rPr>
        <i/>
        <sz val="8"/>
        <color rgb="FF222222"/>
        <rFont val="Arial"/>
        <family val="2"/>
      </rPr>
      <t>Journal of fish biology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59</t>
    </r>
    <r>
      <rPr>
        <sz val="8"/>
        <color rgb="FF222222"/>
        <rFont val="Arial"/>
        <family val="2"/>
      </rPr>
      <t>(2), 380-389.</t>
    </r>
  </si>
  <si>
    <t>average of included species from Spitz et al 2010</t>
  </si>
  <si>
    <t>Dessier et al 2018</t>
  </si>
  <si>
    <t>average of shrimp (Lawson et al 1998 and Smith et al 1986 (in Surma et al 2022)) and mysids (assumed same as krill in Surma et al 2022)</t>
  </si>
  <si>
    <t>average Brey (2001) and Cummins and Wuycheck (1971) in Surma et al 2022</t>
  </si>
  <si>
    <t>Infaunal detritivores in Surma et al 2022</t>
  </si>
  <si>
    <t>Brey (2001) in Surma et al 2022</t>
  </si>
  <si>
    <t>invertebrates general in Coutre et al 2015</t>
  </si>
  <si>
    <t>Surma et al 2022</t>
  </si>
  <si>
    <t>Cauffopé and Heymans (2005) in Surma et al 2022 similar as epibenthic</t>
  </si>
  <si>
    <t>Whyte 1987 in Surma et al 2022</t>
  </si>
  <si>
    <t>Palavesam et al 2005</t>
  </si>
  <si>
    <t>Benthivore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</si>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</sst>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8"/>
      <color rgb="FF222222"/>
      <name val="Arial"/>
      <family val="2"/>
    </font>
    <font>
      <i/>
      <sz val="8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0" fillId="0" borderId="1" xfId="0" applyBorder="1"/>
    <xf numFmtId="2" fontId="0" fillId="0" borderId="0" xfId="0" applyNumberFormat="1"/>
    <xf numFmtId="49" fontId="0" fillId="0" borderId="0" xfId="0" applyNumberFormat="1"/>
    <xf numFmtId="2" fontId="4" fillId="0" borderId="0" xfId="0" applyNumberFormat="1" applyFont="1"/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 applyAlignment="1">
      <alignment vertical="center"/>
    </xf>
    <xf numFmtId="2" fontId="5" fillId="0" borderId="0" xfId="0" applyNumberFormat="1" applyFont="1"/>
    <xf numFmtId="2" fontId="1" fillId="0" borderId="3" xfId="0" applyNumberFormat="1" applyFont="1" applyBorder="1"/>
    <xf numFmtId="2" fontId="5" fillId="0" borderId="3" xfId="0" applyNumberFormat="1" applyFont="1" applyBorder="1" applyAlignment="1">
      <alignment vertical="center"/>
    </xf>
    <xf numFmtId="2" fontId="0" fillId="0" borderId="3" xfId="0" applyNumberFormat="1" applyBorder="1"/>
    <xf numFmtId="2" fontId="5" fillId="0" borderId="3" xfId="0" applyNumberFormat="1" applyFont="1" applyBorder="1"/>
    <xf numFmtId="0" fontId="5" fillId="0" borderId="2" xfId="0" applyFont="1" applyBorder="1"/>
    <xf numFmtId="0" fontId="0" fillId="3" borderId="4" xfId="0" applyFill="1" applyBorder="1"/>
    <xf numFmtId="0" fontId="0" fillId="0" borderId="0" xfId="0" applyBorder="1"/>
    <xf numFmtId="2" fontId="0" fillId="0" borderId="0" xfId="0" applyNumberFormat="1" applyBorder="1"/>
  </cellXfs>
  <cellStyles count="1">
    <cellStyle name="Normal" xfId="0" builtinId="0"/>
  </cellStyles>
  <dxfs count="10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D2759-2C7E-4957-8DDA-B9B50F50793E}" name="Table1" displayName="Table1" ref="A1:H31" totalsRowShown="0" tableBorderDxfId="9">
  <autoFilter ref="A1:H31" xr:uid="{0F0D2759-2C7E-4957-8DDA-B9B50F50793E}"/>
  <tableColumns count="8">
    <tableColumn id="1" xr3:uid="{006AC6EB-AF89-4545-935E-6456096530E6}" name="group.code" dataDxfId="8" totalsRowDxfId="7"/>
    <tableColumn id="2" xr3:uid="{326B2CC7-115A-4386-8FC7-DDF6DCA10D07}" name="group.name" totalsRowDxfId="6"/>
    <tableColumn id="3" xr3:uid="{3246192D-811B-4912-B546-3EEECC9B32FB}" name="B" totalsRowDxfId="5"/>
    <tableColumn id="4" xr3:uid="{2ABDF4B4-B147-4248-B998-74D1C06701D2}" name="QB" totalsRowDxfId="4"/>
    <tableColumn id="5" xr3:uid="{2CCB75AA-7046-48A5-99F1-C56519CEF825}" name="ED" totalsRowDxfId="3"/>
    <tableColumn id="7" xr3:uid="{361BA6FB-1D0C-40EC-A819-925AC2ABFCDE}" name="agg.group.name" totalsRowDxfId="2"/>
    <tableColumn id="8" xr3:uid="{D44E0DD0-5F93-4062-8108-25334C9E0457}" name="forage.species" totalsRowDxfId="1"/>
    <tableColumn id="9" xr3:uid="{F2DBE78E-C018-49EC-8201-5527ABAD24F0}" name="ED source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F879-1B80-4498-A67D-5F112103570D}">
  <dimension ref="A1:H31"/>
  <sheetViews>
    <sheetView tabSelected="1" workbookViewId="0">
      <selection activeCell="B16" sqref="B16"/>
    </sheetView>
  </sheetViews>
  <sheetFormatPr defaultRowHeight="14.4" x14ac:dyDescent="0.3"/>
  <cols>
    <col min="1" max="1" width="13" bestFit="1" customWidth="1"/>
    <col min="2" max="2" width="21.77734375" bestFit="1" customWidth="1"/>
    <col min="3" max="3" width="10" bestFit="1" customWidth="1"/>
    <col min="4" max="4" width="9" bestFit="1" customWidth="1"/>
    <col min="5" max="5" width="6.5546875" bestFit="1" customWidth="1"/>
    <col min="6" max="6" width="21.77734375" bestFit="1" customWidth="1"/>
    <col min="7" max="7" width="16.21875" bestFit="1" customWidth="1"/>
    <col min="8" max="8" width="120.21875" bestFit="1" customWidth="1"/>
  </cols>
  <sheetData>
    <row r="1" spans="1:8" x14ac:dyDescent="0.3">
      <c r="A1" s="1" t="s">
        <v>29</v>
      </c>
      <c r="B1" s="1" t="s">
        <v>30</v>
      </c>
      <c r="C1" s="2" t="s">
        <v>31</v>
      </c>
      <c r="D1" t="s">
        <v>32</v>
      </c>
      <c r="E1" s="5" t="s">
        <v>33</v>
      </c>
      <c r="F1" t="s">
        <v>34</v>
      </c>
      <c r="G1" s="6" t="s">
        <v>35</v>
      </c>
      <c r="H1" t="s">
        <v>36</v>
      </c>
    </row>
    <row r="2" spans="1:8" x14ac:dyDescent="0.3">
      <c r="A2" s="3">
        <v>1</v>
      </c>
      <c r="B2" t="s">
        <v>0</v>
      </c>
      <c r="C2">
        <v>1.8499999999999999E-2</v>
      </c>
      <c r="D2">
        <v>33</v>
      </c>
      <c r="E2" s="5">
        <v>7</v>
      </c>
      <c r="F2" t="s">
        <v>0</v>
      </c>
      <c r="H2" t="s">
        <v>37</v>
      </c>
    </row>
    <row r="3" spans="1:8" x14ac:dyDescent="0.3">
      <c r="A3" s="4">
        <v>2</v>
      </c>
      <c r="B3" t="s">
        <v>1</v>
      </c>
      <c r="C3">
        <v>4.1000000000000002E-2</v>
      </c>
      <c r="D3">
        <v>9</v>
      </c>
      <c r="E3" s="7">
        <v>8.7349999999999994</v>
      </c>
      <c r="F3" t="s">
        <v>1</v>
      </c>
      <c r="H3" t="s">
        <v>39</v>
      </c>
    </row>
    <row r="4" spans="1:8" x14ac:dyDescent="0.3">
      <c r="A4" s="3">
        <v>3</v>
      </c>
      <c r="B4" t="s">
        <v>2</v>
      </c>
      <c r="C4">
        <v>7.0000000000000001E-3</v>
      </c>
      <c r="D4">
        <v>12</v>
      </c>
      <c r="E4" s="7">
        <v>8.7349999999999994</v>
      </c>
      <c r="F4" t="s">
        <v>2</v>
      </c>
      <c r="H4" t="s">
        <v>40</v>
      </c>
    </row>
    <row r="5" spans="1:8" x14ac:dyDescent="0.3">
      <c r="A5" s="4">
        <v>4</v>
      </c>
      <c r="B5" t="s">
        <v>3</v>
      </c>
      <c r="C5">
        <v>0.7</v>
      </c>
      <c r="D5">
        <v>3.5</v>
      </c>
      <c r="E5" s="8">
        <v>4.2</v>
      </c>
      <c r="F5" s="16" t="s">
        <v>41</v>
      </c>
      <c r="H5" t="s">
        <v>42</v>
      </c>
    </row>
    <row r="6" spans="1:8" x14ac:dyDescent="0.3">
      <c r="A6" s="3">
        <v>5</v>
      </c>
      <c r="B6" t="s">
        <v>4</v>
      </c>
      <c r="C6">
        <v>0.25491390000000003</v>
      </c>
      <c r="D6">
        <v>7.5250360000000001</v>
      </c>
      <c r="E6" s="8">
        <v>4.2</v>
      </c>
      <c r="F6" s="9" t="s">
        <v>4</v>
      </c>
      <c r="G6" t="s">
        <v>38</v>
      </c>
      <c r="H6" t="s">
        <v>42</v>
      </c>
    </row>
    <row r="7" spans="1:8" x14ac:dyDescent="0.3">
      <c r="A7" s="4">
        <v>6</v>
      </c>
      <c r="B7" t="s">
        <v>5</v>
      </c>
      <c r="C7">
        <v>0.28000000000000003</v>
      </c>
      <c r="D7">
        <v>3.42</v>
      </c>
      <c r="E7" s="10">
        <v>5.8</v>
      </c>
      <c r="F7" s="16" t="s">
        <v>57</v>
      </c>
      <c r="H7" t="s">
        <v>43</v>
      </c>
    </row>
    <row r="8" spans="1:8" x14ac:dyDescent="0.3">
      <c r="A8" s="3">
        <v>7</v>
      </c>
      <c r="B8" t="s">
        <v>6</v>
      </c>
      <c r="C8">
        <v>0.1162203</v>
      </c>
      <c r="D8">
        <v>7.4321400000000004</v>
      </c>
      <c r="E8" s="10">
        <v>5.8</v>
      </c>
      <c r="F8" s="16" t="s">
        <v>57</v>
      </c>
      <c r="H8" t="s">
        <v>43</v>
      </c>
    </row>
    <row r="9" spans="1:8" x14ac:dyDescent="0.3">
      <c r="A9" s="4">
        <v>8</v>
      </c>
      <c r="B9" t="s">
        <v>7</v>
      </c>
      <c r="C9">
        <v>0.2</v>
      </c>
      <c r="D9">
        <v>3.1</v>
      </c>
      <c r="E9" s="11">
        <v>5</v>
      </c>
      <c r="F9" s="16" t="s">
        <v>57</v>
      </c>
      <c r="H9" t="s">
        <v>43</v>
      </c>
    </row>
    <row r="10" spans="1:8" x14ac:dyDescent="0.3">
      <c r="A10" s="3">
        <v>9</v>
      </c>
      <c r="B10" t="s">
        <v>8</v>
      </c>
      <c r="C10">
        <v>1.5</v>
      </c>
      <c r="D10">
        <v>3.36</v>
      </c>
      <c r="E10" s="12">
        <v>5.7</v>
      </c>
      <c r="F10" s="16" t="s">
        <v>57</v>
      </c>
      <c r="H10" t="s">
        <v>44</v>
      </c>
    </row>
    <row r="11" spans="1:8" x14ac:dyDescent="0.3">
      <c r="A11" s="4">
        <v>10</v>
      </c>
      <c r="B11" t="s">
        <v>9</v>
      </c>
      <c r="C11">
        <v>0.25</v>
      </c>
      <c r="D11">
        <v>3.2</v>
      </c>
      <c r="E11" s="12">
        <v>5.7</v>
      </c>
      <c r="F11" s="16" t="s">
        <v>41</v>
      </c>
      <c r="H11" t="s">
        <v>44</v>
      </c>
    </row>
    <row r="12" spans="1:8" x14ac:dyDescent="0.3">
      <c r="A12" s="3">
        <v>11</v>
      </c>
      <c r="B12" t="s">
        <v>10</v>
      </c>
      <c r="C12">
        <v>0.7</v>
      </c>
      <c r="D12">
        <v>5.45</v>
      </c>
      <c r="E12" s="8">
        <v>3.9</v>
      </c>
      <c r="F12" s="16" t="s">
        <v>41</v>
      </c>
      <c r="H12" t="s">
        <v>43</v>
      </c>
    </row>
    <row r="13" spans="1:8" x14ac:dyDescent="0.3">
      <c r="A13" s="4">
        <v>12</v>
      </c>
      <c r="B13" t="s">
        <v>11</v>
      </c>
      <c r="C13">
        <v>7.9910800000000004E-2</v>
      </c>
      <c r="D13">
        <v>14.758190000000001</v>
      </c>
      <c r="E13" s="8">
        <v>3.9</v>
      </c>
      <c r="F13" t="s">
        <v>11</v>
      </c>
      <c r="G13" t="s">
        <v>38</v>
      </c>
      <c r="H13" t="s">
        <v>43</v>
      </c>
    </row>
    <row r="14" spans="1:8" x14ac:dyDescent="0.3">
      <c r="A14" s="3">
        <v>13</v>
      </c>
      <c r="B14" t="s">
        <v>12</v>
      </c>
      <c r="C14">
        <v>0.02</v>
      </c>
      <c r="D14">
        <v>9.06</v>
      </c>
      <c r="E14" s="5">
        <v>4.4000000000000004</v>
      </c>
      <c r="F14" t="s">
        <v>12</v>
      </c>
      <c r="G14" t="s">
        <v>38</v>
      </c>
      <c r="H14" t="s">
        <v>43</v>
      </c>
    </row>
    <row r="15" spans="1:8" x14ac:dyDescent="0.3">
      <c r="A15" s="4">
        <v>14</v>
      </c>
      <c r="B15" t="s">
        <v>13</v>
      </c>
      <c r="C15">
        <v>1</v>
      </c>
      <c r="D15">
        <v>5.05</v>
      </c>
      <c r="E15">
        <v>4.9000000000000004</v>
      </c>
      <c r="F15" t="s">
        <v>13</v>
      </c>
      <c r="G15" t="s">
        <v>38</v>
      </c>
      <c r="H15" t="s">
        <v>45</v>
      </c>
    </row>
    <row r="16" spans="1:8" x14ac:dyDescent="0.3">
      <c r="A16" s="3">
        <v>15</v>
      </c>
      <c r="B16" t="s">
        <v>14</v>
      </c>
      <c r="C16">
        <v>1.5</v>
      </c>
      <c r="D16">
        <v>10.1</v>
      </c>
      <c r="E16" s="10">
        <v>5.3</v>
      </c>
      <c r="F16" t="s">
        <v>14</v>
      </c>
      <c r="G16" t="s">
        <v>38</v>
      </c>
      <c r="H16" t="s">
        <v>46</v>
      </c>
    </row>
    <row r="17" spans="1:8" x14ac:dyDescent="0.3">
      <c r="A17" s="4">
        <v>16</v>
      </c>
      <c r="B17" t="s">
        <v>15</v>
      </c>
      <c r="C17">
        <v>9</v>
      </c>
      <c r="D17">
        <v>2.17</v>
      </c>
      <c r="E17" s="8">
        <v>10.199999999999999</v>
      </c>
      <c r="F17" t="s">
        <v>15</v>
      </c>
      <c r="G17" t="s">
        <v>38</v>
      </c>
      <c r="H17" t="s">
        <v>43</v>
      </c>
    </row>
    <row r="18" spans="1:8" x14ac:dyDescent="0.3">
      <c r="A18" s="3">
        <v>17</v>
      </c>
      <c r="B18" t="s">
        <v>16</v>
      </c>
      <c r="C18">
        <v>1.6</v>
      </c>
      <c r="D18">
        <v>6</v>
      </c>
      <c r="E18" s="5">
        <v>6.5</v>
      </c>
      <c r="F18" t="s">
        <v>16</v>
      </c>
      <c r="G18" t="s">
        <v>38</v>
      </c>
      <c r="H18" t="s">
        <v>43</v>
      </c>
    </row>
    <row r="19" spans="1:8" x14ac:dyDescent="0.3">
      <c r="A19" s="4">
        <v>18</v>
      </c>
      <c r="B19" t="s">
        <v>17</v>
      </c>
      <c r="C19">
        <v>16.78</v>
      </c>
      <c r="D19">
        <v>30</v>
      </c>
      <c r="E19" s="13">
        <v>1</v>
      </c>
      <c r="F19" t="s">
        <v>17</v>
      </c>
      <c r="H19" t="s">
        <v>47</v>
      </c>
    </row>
    <row r="20" spans="1:8" x14ac:dyDescent="0.3">
      <c r="A20" s="3">
        <v>19</v>
      </c>
      <c r="B20" t="s">
        <v>18</v>
      </c>
      <c r="C20">
        <v>3.5</v>
      </c>
      <c r="D20">
        <v>10</v>
      </c>
      <c r="E20" s="8">
        <v>4.45</v>
      </c>
      <c r="F20" t="s">
        <v>18</v>
      </c>
      <c r="G20" t="s">
        <v>38</v>
      </c>
      <c r="H20" t="s">
        <v>48</v>
      </c>
    </row>
    <row r="21" spans="1:8" x14ac:dyDescent="0.3">
      <c r="A21" s="4">
        <v>20</v>
      </c>
      <c r="B21" t="s">
        <v>19</v>
      </c>
      <c r="C21">
        <v>65</v>
      </c>
      <c r="D21">
        <v>2</v>
      </c>
      <c r="E21" s="14">
        <v>1.2</v>
      </c>
      <c r="F21" t="s">
        <v>19</v>
      </c>
      <c r="H21" t="s">
        <v>49</v>
      </c>
    </row>
    <row r="22" spans="1:8" x14ac:dyDescent="0.3">
      <c r="A22" s="3">
        <v>21</v>
      </c>
      <c r="B22" t="s">
        <v>20</v>
      </c>
      <c r="C22">
        <v>63</v>
      </c>
      <c r="D22">
        <v>3</v>
      </c>
      <c r="E22" s="12">
        <v>1.88</v>
      </c>
      <c r="F22" t="s">
        <v>20</v>
      </c>
      <c r="H22" t="s">
        <v>50</v>
      </c>
    </row>
    <row r="23" spans="1:8" x14ac:dyDescent="0.3">
      <c r="A23" s="4">
        <v>22</v>
      </c>
      <c r="B23" t="s">
        <v>21</v>
      </c>
      <c r="C23">
        <v>3.0350000000000001</v>
      </c>
      <c r="D23">
        <v>1.85</v>
      </c>
      <c r="E23" s="8">
        <v>4</v>
      </c>
      <c r="F23" t="s">
        <v>21</v>
      </c>
      <c r="H23" t="s">
        <v>51</v>
      </c>
    </row>
    <row r="24" spans="1:8" x14ac:dyDescent="0.3">
      <c r="A24" s="3">
        <v>23</v>
      </c>
      <c r="B24" t="s">
        <v>22</v>
      </c>
      <c r="C24">
        <v>20</v>
      </c>
      <c r="D24">
        <v>2.3333330000000001</v>
      </c>
      <c r="E24" s="8">
        <v>4</v>
      </c>
      <c r="F24" t="s">
        <v>22</v>
      </c>
      <c r="H24" t="s">
        <v>51</v>
      </c>
    </row>
    <row r="25" spans="1:8" x14ac:dyDescent="0.3">
      <c r="A25" s="4">
        <v>24</v>
      </c>
      <c r="B25" t="s">
        <v>23</v>
      </c>
      <c r="C25">
        <v>35.5</v>
      </c>
      <c r="D25">
        <v>4.2</v>
      </c>
      <c r="E25" s="8">
        <v>3</v>
      </c>
      <c r="F25" t="s">
        <v>23</v>
      </c>
      <c r="H25" t="s">
        <v>52</v>
      </c>
    </row>
    <row r="26" spans="1:8" x14ac:dyDescent="0.3">
      <c r="A26" s="3">
        <v>25</v>
      </c>
      <c r="B26" t="s">
        <v>24</v>
      </c>
      <c r="C26">
        <v>6.6000000000000003E-2</v>
      </c>
      <c r="D26">
        <v>9.5266669999999998</v>
      </c>
      <c r="E26" s="13">
        <v>3</v>
      </c>
      <c r="F26" t="s">
        <v>24</v>
      </c>
      <c r="H26" t="s">
        <v>53</v>
      </c>
    </row>
    <row r="27" spans="1:8" x14ac:dyDescent="0.3">
      <c r="A27" s="4">
        <v>26</v>
      </c>
      <c r="B27" t="s">
        <v>25</v>
      </c>
      <c r="C27">
        <v>10.02</v>
      </c>
      <c r="D27">
        <v>125</v>
      </c>
      <c r="E27" s="5">
        <v>1.6</v>
      </c>
      <c r="F27" t="s">
        <v>25</v>
      </c>
      <c r="H27" t="s">
        <v>54</v>
      </c>
    </row>
    <row r="28" spans="1:8" x14ac:dyDescent="0.3">
      <c r="A28" s="3">
        <v>27</v>
      </c>
      <c r="B28" t="s">
        <v>26</v>
      </c>
      <c r="C28">
        <v>11.95</v>
      </c>
      <c r="D28">
        <v>0</v>
      </c>
      <c r="E28" s="12">
        <v>1.01</v>
      </c>
      <c r="F28" t="s">
        <v>26</v>
      </c>
      <c r="H28" t="s">
        <v>55</v>
      </c>
    </row>
    <row r="29" spans="1:8" x14ac:dyDescent="0.3">
      <c r="A29" s="4">
        <v>28</v>
      </c>
      <c r="B29" t="s">
        <v>27</v>
      </c>
      <c r="C29">
        <v>0.3</v>
      </c>
      <c r="D29">
        <v>0</v>
      </c>
      <c r="E29" s="14">
        <v>1.01</v>
      </c>
      <c r="F29" t="s">
        <v>27</v>
      </c>
      <c r="H29" t="s">
        <v>53</v>
      </c>
    </row>
    <row r="30" spans="1:8" x14ac:dyDescent="0.3">
      <c r="A30" s="3">
        <v>29</v>
      </c>
      <c r="B30" t="s">
        <v>28</v>
      </c>
      <c r="C30">
        <v>35</v>
      </c>
      <c r="D30">
        <v>0</v>
      </c>
      <c r="E30" s="15">
        <v>4.88</v>
      </c>
      <c r="F30" t="s">
        <v>28</v>
      </c>
      <c r="H30" t="s">
        <v>56</v>
      </c>
    </row>
    <row r="31" spans="1:8" x14ac:dyDescent="0.3">
      <c r="A31" s="17">
        <v>30</v>
      </c>
      <c r="B31" s="18" t="s">
        <v>58</v>
      </c>
      <c r="C31" s="18">
        <v>9.1191988521570067E-2</v>
      </c>
      <c r="D31" s="18">
        <v>0</v>
      </c>
      <c r="E31" s="19">
        <f>AVERAGE(E2:E30)</f>
        <v>4.5172413793103461</v>
      </c>
      <c r="F31" s="18" t="s">
        <v>58</v>
      </c>
      <c r="G31" s="18"/>
      <c r="H31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Marjoleine Roos</dc:creator>
  <cp:lastModifiedBy>Marjoleine Roos</cp:lastModifiedBy>
  <dcterms:created xsi:type="dcterms:W3CDTF">2025-08-04T02:13:24Z</dcterms:created>
  <dcterms:modified xsi:type="dcterms:W3CDTF">2025-08-26T03:12:08Z</dcterms:modified>
</cp:coreProperties>
</file>